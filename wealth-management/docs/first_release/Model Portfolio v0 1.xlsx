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raham/Desktop/Financial Planning/"/>
    </mc:Choice>
  </mc:AlternateContent>
  <xr:revisionPtr revIDLastSave="0" documentId="13_ncr:1_{F0197AA2-187C-8348-A065-B9743CAC4A21}" xr6:coauthVersionLast="47" xr6:coauthVersionMax="47" xr10:uidLastSave="{00000000-0000-0000-0000-000000000000}"/>
  <bookViews>
    <workbookView xWindow="140" yWindow="500" windowWidth="38400" windowHeight="19620" activeTab="1" xr2:uid="{00000000-000D-0000-FFFF-FFFF00000000}"/>
  </bookViews>
  <sheets>
    <sheet name="Model Portfolio v0.1" sheetId="1" r:id="rId1"/>
    <sheet name="Individual stock basket" sheetId="3" r:id="rId2"/>
    <sheet name="Sleeve 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<sst xmlns="http://schemas.openxmlformats.org/spreadsheetml/2006/main" count="163" uniqueCount="114">
  <si>
    <t>Sleeve</t>
  </si>
  <si>
    <t>Holding</t>
  </si>
  <si>
    <t>Ticker</t>
  </si>
  <si>
    <t>Weight (%)</t>
  </si>
  <si>
    <t>Allocation (£)</t>
  </si>
  <si>
    <t>Notes</t>
  </si>
  <si>
    <t>Defensive Income</t>
  </si>
  <si>
    <t>iShares Core Global Aggregate Bond UCITS ETF GBP Hedged (Dist)</t>
  </si>
  <si>
    <t>AGBP</t>
  </si>
  <si>
    <t>Core global IG bonds, GBP-hedged</t>
  </si>
  <si>
    <t>GBP investment-grade corporates</t>
  </si>
  <si>
    <t>UK gilt ballast / liquidity</t>
  </si>
  <si>
    <t>Equity Income &amp; Growth</t>
  </si>
  <si>
    <t>Vanguard FTSE All-World High Dividend Yield UCITS ETF (Dist)</t>
  </si>
  <si>
    <t>VHYL</t>
  </si>
  <si>
    <t>Broad global dividend equity core</t>
  </si>
  <si>
    <t>SPDR S&amp;P Global Dividend Aristocrats UCITS ETF (Dist)</t>
  </si>
  <si>
    <t>GBDV</t>
  </si>
  <si>
    <t>Dividend-quality screen; diversifier</t>
  </si>
  <si>
    <t>iShares UK Dividend UCITS ETF (Dist)</t>
  </si>
  <si>
    <t>IUKD</t>
  </si>
  <si>
    <t>Small UK income satellite</t>
  </si>
  <si>
    <t>Individual stock basket (12+ names; max 3% per name)</t>
  </si>
  <si>
    <t>STOCKS</t>
  </si>
  <si>
    <t>Hands-on satellite; rules-based sizing</t>
  </si>
  <si>
    <t>Real Assets &amp; Alternatives</t>
  </si>
  <si>
    <t>International Public Partnerships (Investment Trust)</t>
  </si>
  <si>
    <t>INPP</t>
  </si>
  <si>
    <t>Infrastructure-style contracted cashflows</t>
  </si>
  <si>
    <t>HICL Infrastructure (Investment Trust)</t>
  </si>
  <si>
    <t>HICL</t>
  </si>
  <si>
    <t>iShares Global Infrastructure UCITS ETF (Dist)</t>
  </si>
  <si>
    <t>INFR</t>
  </si>
  <si>
    <t>Global infra diversification</t>
  </si>
  <si>
    <t>iShares Developed Markets Property Yield UCITS ETF (Dist)</t>
  </si>
  <si>
    <t>IWDP</t>
  </si>
  <si>
    <t>Global REIT/property yield</t>
  </si>
  <si>
    <t>TwentyFour Income Fund (Investment Trust)</t>
  </si>
  <si>
    <t>TFIF</t>
  </si>
  <si>
    <t>Credit/asset-backed income (small, monitored)</t>
  </si>
  <si>
    <t>Cash / Income Buffer</t>
  </si>
  <si>
    <t>GBP cash at IBKR (or equivalent)</t>
  </si>
  <si>
    <t>GBP CASH</t>
  </si>
  <si>
    <t>Liquidity + optional FX dry powder</t>
  </si>
  <si>
    <t>iShares £ Ultrashort Bond UCITS ETF GBP (Dist)</t>
  </si>
  <si>
    <t>ERNS</t>
  </si>
  <si>
    <t>Cash-like ultrashort IG bond sleeve</t>
  </si>
  <si>
    <t>TOTAL</t>
  </si>
  <si>
    <t>Target Weight (%)</t>
  </si>
  <si>
    <t>Target Allocation (£)</t>
  </si>
  <si>
    <t>Equity Income and Growth</t>
  </si>
  <si>
    <t>Real Assets and Alternatives</t>
  </si>
  <si>
    <t>Invesco GBP Investment-Grade Corporate Bond ETF</t>
  </si>
  <si>
    <t>GLTP</t>
  </si>
  <si>
    <t>Invesco UK Gilts ETF</t>
  </si>
  <si>
    <t>IGCB</t>
  </si>
  <si>
    <t>Region</t>
  </si>
  <si>
    <t>Country</t>
  </si>
  <si>
    <t>Company</t>
  </si>
  <si>
    <t>Exchange</t>
  </si>
  <si>
    <t>Sector</t>
  </si>
  <si>
    <t>Role</t>
  </si>
  <si>
    <t>Basket Weight (%)</t>
  </si>
  <si>
    <t>Portfolio Weight (%)</t>
  </si>
  <si>
    <t>UK</t>
  </si>
  <si>
    <t>Unilever</t>
  </si>
  <si>
    <t>ULVR</t>
  </si>
  <si>
    <t>LSE</t>
  </si>
  <si>
    <t>Consumer Staples</t>
  </si>
  <si>
    <t>Defensive dividend compounder</t>
  </si>
  <si>
    <t>Diageo</t>
  </si>
  <si>
    <t>DGE</t>
  </si>
  <si>
    <t>Global brands + cashflow</t>
  </si>
  <si>
    <t>AstraZeneca</t>
  </si>
  <si>
    <t>AZN</t>
  </si>
  <si>
    <t>Healthcare</t>
  </si>
  <si>
    <t>Defensive growth / quality</t>
  </si>
  <si>
    <t>GSK</t>
  </si>
  <si>
    <t>Healthcare income anchor</t>
  </si>
  <si>
    <t>National Grid</t>
  </si>
  <si>
    <t>NG.</t>
  </si>
  <si>
    <t>Utilities</t>
  </si>
  <si>
    <t>Regulated/utility-like cashflows</t>
  </si>
  <si>
    <t>Legal &amp; General</t>
  </si>
  <si>
    <t>LGEN</t>
  </si>
  <si>
    <t>Financials</t>
  </si>
  <si>
    <t>Income/cashflow (cyclical-aware)</t>
  </si>
  <si>
    <t>HK</t>
  </si>
  <si>
    <t>Hong Kong</t>
  </si>
  <si>
    <t>AIA Group</t>
  </si>
  <si>
    <t>1299</t>
  </si>
  <si>
    <t>HKEX</t>
  </si>
  <si>
    <t>Asia insurance quality</t>
  </si>
  <si>
    <t>0388</t>
  </si>
  <si>
    <t>Financials/Exchange</t>
  </si>
  <si>
    <t>Market infrastructure / platform</t>
  </si>
  <si>
    <t>Link REIT</t>
  </si>
  <si>
    <t>0823</t>
  </si>
  <si>
    <t>REITs</t>
  </si>
  <si>
    <t>Property income diversifier</t>
  </si>
  <si>
    <t>SG</t>
  </si>
  <si>
    <t>Singapore</t>
  </si>
  <si>
    <t>DBS Group</t>
  </si>
  <si>
    <t>D05</t>
  </si>
  <si>
    <t>SGX</t>
  </si>
  <si>
    <t>Singapore bank (chosen)</t>
  </si>
  <si>
    <t>Singtel</t>
  </si>
  <si>
    <t>Z74</t>
  </si>
  <si>
    <t>Communication Services</t>
  </si>
  <si>
    <t>Telco cashflow</t>
  </si>
  <si>
    <t>ST Engineering</t>
  </si>
  <si>
    <t>S63</t>
  </si>
  <si>
    <t>Industrials</t>
  </si>
  <si>
    <t>Industrial/defence/services diversifier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</si>
</sst>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  <xf numFmtId="4" fontId="0" fillId="0" borderId="1" xfId="0" applyNumberFormat="1" applyBorder="1"/>
    <xf numFmtId="0" fontId="2" fillId="2" borderId="0" xfId="0" applyFont="1" applyFill="1" applyAlignment="1">
      <alignment horizontal="center" vertical="center" wrapText="1"/>
    </xf>
    <xf numFmtId="1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zoomScale="193" workbookViewId="0">
      <selection activeCell="B8" sqref="B8"/>
    </sheetView>
  </sheetViews>
  <sheetFormatPr baseColWidth="10" defaultColWidth="8.83203125" defaultRowHeight="15" x14ac:dyDescent="0.2"/>
  <cols>
    <col min="1" max="1" width="22" customWidth="1"/>
    <col min="2" max="2" width="62" customWidth="1"/>
    <col min="3" max="3" width="10" customWidth="1"/>
    <col min="4" max="4" width="12" customWidth="1"/>
    <col min="5" max="5" width="16" style="3" customWidth="1"/>
    <col min="6" max="6" width="58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22</v>
      </c>
      <c r="E2" s="3">
        <v>165000</v>
      </c>
      <c r="F2" t="s">
        <v>9</v>
      </c>
    </row>
    <row r="3" spans="1:6" x14ac:dyDescent="0.2">
      <c r="A3" t="s">
        <v>6</v>
      </c>
      <c r="B3" t="s">
        <v>52</v>
      </c>
      <c r="C3" t="s">
        <v>55</v>
      </c>
      <c r="D3">
        <v>8</v>
      </c>
      <c r="E3" s="3">
        <v>60000</v>
      </c>
      <c r="F3" t="s">
        <v>10</v>
      </c>
    </row>
    <row r="4" spans="1:6" x14ac:dyDescent="0.2">
      <c r="A4" t="s">
        <v>6</v>
      </c>
      <c r="B4" t="s">
        <v>54</v>
      </c>
      <c r="C4" t="s">
        <v>53</v>
      </c>
      <c r="D4">
        <v>5</v>
      </c>
      <c r="E4" s="3">
        <v>37500</v>
      </c>
      <c r="F4" t="s">
        <v>11</v>
      </c>
    </row>
    <row r="5" spans="1:6" x14ac:dyDescent="0.2">
      <c r="A5" t="s">
        <v>12</v>
      </c>
      <c r="B5" t="s">
        <v>13</v>
      </c>
      <c r="C5" t="s">
        <v>14</v>
      </c>
      <c r="D5">
        <v>17</v>
      </c>
      <c r="E5" s="3">
        <v>127500</v>
      </c>
      <c r="F5" t="s">
        <v>15</v>
      </c>
    </row>
    <row r="6" spans="1:6" x14ac:dyDescent="0.2">
      <c r="A6" t="s">
        <v>12</v>
      </c>
      <c r="B6" t="s">
        <v>16</v>
      </c>
      <c r="C6" t="s">
        <v>17</v>
      </c>
      <c r="D6">
        <v>10</v>
      </c>
      <c r="E6" s="3">
        <v>75000</v>
      </c>
      <c r="F6" t="s">
        <v>18</v>
      </c>
    </row>
    <row r="7" spans="1:6" x14ac:dyDescent="0.2">
      <c r="A7" t="s">
        <v>12</v>
      </c>
      <c r="B7" t="s">
        <v>19</v>
      </c>
      <c r="C7" t="s">
        <v>20</v>
      </c>
      <c r="D7">
        <v>3</v>
      </c>
      <c r="E7" s="3">
        <v>22500</v>
      </c>
      <c r="F7" t="s">
        <v>21</v>
      </c>
    </row>
    <row r="8" spans="1:6" x14ac:dyDescent="0.2">
      <c r="A8" t="s">
        <v>12</v>
      </c>
      <c r="B8" t="s">
        <v>22</v>
      </c>
      <c r="C8" t="s">
        <v>23</v>
      </c>
      <c r="D8">
        <v>5</v>
      </c>
      <c r="E8" s="3">
        <v>37500</v>
      </c>
      <c r="F8" t="s">
        <v>24</v>
      </c>
    </row>
    <row r="9" spans="1:6" x14ac:dyDescent="0.2">
      <c r="A9" t="s">
        <v>25</v>
      </c>
      <c r="B9" t="s">
        <v>26</v>
      </c>
      <c r="C9" t="s">
        <v>27</v>
      </c>
      <c r="D9">
        <v>4</v>
      </c>
      <c r="E9" s="3">
        <v>30000</v>
      </c>
      <c r="F9" t="s">
        <v>28</v>
      </c>
    </row>
    <row r="10" spans="1:6" x14ac:dyDescent="0.2">
      <c r="A10" t="s">
        <v>25</v>
      </c>
      <c r="B10" t="s">
        <v>29</v>
      </c>
      <c r="C10" t="s">
        <v>30</v>
      </c>
      <c r="D10">
        <v>3</v>
      </c>
      <c r="E10" s="3">
        <v>22500</v>
      </c>
      <c r="F10" t="s">
        <v>28</v>
      </c>
    </row>
    <row r="11" spans="1:6" x14ac:dyDescent="0.2">
      <c r="A11" t="s">
        <v>25</v>
      </c>
      <c r="B11" t="s">
        <v>31</v>
      </c>
      <c r="C11" t="s">
        <v>32</v>
      </c>
      <c r="D11">
        <v>3</v>
      </c>
      <c r="E11" s="3">
        <v>22500</v>
      </c>
      <c r="F11" t="s">
        <v>33</v>
      </c>
    </row>
    <row r="12" spans="1:6" x14ac:dyDescent="0.2">
      <c r="A12" t="s">
        <v>25</v>
      </c>
      <c r="B12" t="s">
        <v>34</v>
      </c>
      <c r="C12" t="s">
        <v>35</v>
      </c>
      <c r="D12">
        <v>7</v>
      </c>
      <c r="E12" s="3">
        <v>52500</v>
      </c>
      <c r="F12" t="s">
        <v>36</v>
      </c>
    </row>
    <row r="13" spans="1:6" x14ac:dyDescent="0.2">
      <c r="A13" t="s">
        <v>25</v>
      </c>
      <c r="B13" t="s">
        <v>37</v>
      </c>
      <c r="C13" t="s">
        <v>38</v>
      </c>
      <c r="D13">
        <v>3</v>
      </c>
      <c r="E13" s="3">
        <v>22500</v>
      </c>
      <c r="F13" t="s">
        <v>39</v>
      </c>
    </row>
    <row r="14" spans="1:6" x14ac:dyDescent="0.2">
      <c r="A14" t="s">
        <v>40</v>
      </c>
      <c r="B14" t="s">
        <v>41</v>
      </c>
      <c r="C14" t="s">
        <v>42</v>
      </c>
      <c r="D14">
        <v>5</v>
      </c>
      <c r="E14" s="3">
        <v>37500</v>
      </c>
      <c r="F14" t="s">
        <v>43</v>
      </c>
    </row>
    <row r="15" spans="1:6" x14ac:dyDescent="0.2">
      <c r="A15" t="s">
        <v>40</v>
      </c>
      <c r="B15" t="s">
        <v>44</v>
      </c>
      <c r="C15" t="s">
        <v>45</v>
      </c>
      <c r="D15">
        <v>5</v>
      </c>
      <c r="E15" s="3">
        <v>37500</v>
      </c>
      <c r="F15" t="s">
        <v>46</v>
      </c>
    </row>
    <row r="16" spans="1:6" x14ac:dyDescent="0.2">
      <c r="B16" t="s">
        <v>47</v>
      </c>
      <c r="D16">
        <v>100</v>
      </c>
      <c r="E16" s="3">
        <v>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9692-867D-B344-B56D-9FBA0CC6AEBF}">
  <dimension ref="A1:I13"/>
  <sheetViews>
    <sheetView tabSelected="1" zoomScale="200" zoomScaleNormal="100" workbookViewId="0">
      <selection activeCell="C19" sqref="C19"/>
    </sheetView>
  </sheetViews>
  <sheetFormatPr baseColWidth="10" defaultRowHeight="15" x14ac:dyDescent="0.2"/>
  <cols>
    <col min="3" max="3" width="20" customWidth="1"/>
    <col min="4" max="4" width="13.1640625" customWidth="1"/>
    <col min="6" max="6" width="21" customWidth="1"/>
    <col min="7" max="7" width="35.5" customWidth="1"/>
  </cols>
  <sheetData>
    <row r="1" spans="1:9" ht="32" x14ac:dyDescent="0.2">
      <c r="A1" s="5" t="s">
        <v>56</v>
      </c>
      <c r="B1" s="5" t="s">
        <v>57</v>
      </c>
      <c r="C1" s="5" t="s">
        <v>58</v>
      </c>
      <c r="D1" s="5" t="s">
        <v>2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</row>
    <row r="2" spans="1:9" x14ac:dyDescent="0.2">
      <c r="A2" t="s">
        <v>64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s="6">
        <v>8.3333333333333329E-2</v>
      </c>
      <c r="I2" s="7">
        <v>4.1666666666666666E-3</v>
      </c>
    </row>
    <row r="3" spans="1:9" x14ac:dyDescent="0.2">
      <c r="A3" t="s">
        <v>64</v>
      </c>
      <c r="B3" t="s">
        <v>64</v>
      </c>
      <c r="C3" t="s">
        <v>70</v>
      </c>
      <c r="D3" t="s">
        <v>71</v>
      </c>
      <c r="E3" t="s">
        <v>67</v>
      </c>
      <c r="F3" t="s">
        <v>68</v>
      </c>
      <c r="G3" t="s">
        <v>72</v>
      </c>
      <c r="H3" s="6">
        <v>8.3333333333333329E-2</v>
      </c>
      <c r="I3" s="7">
        <v>4.1666666666666666E-3</v>
      </c>
    </row>
    <row r="4" spans="1:9" x14ac:dyDescent="0.2">
      <c r="A4" t="s">
        <v>64</v>
      </c>
      <c r="B4" t="s">
        <v>64</v>
      </c>
      <c r="C4" t="s">
        <v>73</v>
      </c>
      <c r="D4" t="s">
        <v>74</v>
      </c>
      <c r="E4" t="s">
        <v>67</v>
      </c>
      <c r="F4" t="s">
        <v>75</v>
      </c>
      <c r="G4" t="s">
        <v>76</v>
      </c>
      <c r="H4" s="6">
        <v>8.3333333333333329E-2</v>
      </c>
      <c r="I4" s="7">
        <v>4.1666666666666666E-3</v>
      </c>
    </row>
    <row r="5" spans="1:9" x14ac:dyDescent="0.2">
      <c r="A5" t="s">
        <v>64</v>
      </c>
      <c r="B5" t="s">
        <v>64</v>
      </c>
      <c r="C5" t="s">
        <v>77</v>
      </c>
      <c r="D5" t="s">
        <v>77</v>
      </c>
      <c r="E5" t="s">
        <v>67</v>
      </c>
      <c r="F5" t="s">
        <v>75</v>
      </c>
      <c r="G5" t="s">
        <v>78</v>
      </c>
      <c r="H5" s="6">
        <v>8.3333333333333329E-2</v>
      </c>
      <c r="I5" s="7">
        <v>4.1666666666666666E-3</v>
      </c>
    </row>
    <row r="6" spans="1:9" x14ac:dyDescent="0.2">
      <c r="A6" t="s">
        <v>64</v>
      </c>
      <c r="B6" t="s">
        <v>64</v>
      </c>
      <c r="C6" t="s">
        <v>79</v>
      </c>
      <c r="D6" t="s">
        <v>80</v>
      </c>
      <c r="E6" t="s">
        <v>67</v>
      </c>
      <c r="F6" t="s">
        <v>81</v>
      </c>
      <c r="G6" t="s">
        <v>82</v>
      </c>
      <c r="H6" s="6">
        <v>8.3333333333333329E-2</v>
      </c>
      <c r="I6" s="7">
        <v>4.1666666666666666E-3</v>
      </c>
    </row>
    <row r="7" spans="1:9" x14ac:dyDescent="0.2">
      <c r="A7" t="s">
        <v>64</v>
      </c>
      <c r="B7" t="s">
        <v>64</v>
      </c>
      <c r="C7" t="s">
        <v>83</v>
      </c>
      <c r="D7" t="s">
        <v>84</v>
      </c>
      <c r="E7" t="s">
        <v>67</v>
      </c>
      <c r="F7" t="s">
        <v>85</v>
      </c>
      <c r="G7" t="s">
        <v>86</v>
      </c>
      <c r="H7" s="6">
        <v>8.3333333333333329E-2</v>
      </c>
      <c r="I7" s="7">
        <v>4.1666666666666666E-3</v>
      </c>
    </row>
    <row r="8" spans="1:9" x14ac:dyDescent="0.2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85</v>
      </c>
      <c r="G8" t="s">
        <v>92</v>
      </c>
      <c r="H8" s="6">
        <v>8.3333333333333329E-2</v>
      </c>
      <c r="I8" s="7">
        <v>4.1666666666666666E-3</v>
      </c>
    </row>
    <row r="9" spans="1:9" x14ac:dyDescent="0.2">
      <c r="A9" t="s">
        <v>87</v>
      </c>
      <c r="B9" t="s">
        <v>88</v>
      </c>
      <c r="C9" t="s">
        <v>91</v>
      </c>
      <c r="D9" t="s">
        <v>93</v>
      </c>
      <c r="E9" t="s">
        <v>91</v>
      </c>
      <c r="F9" t="s">
        <v>94</v>
      </c>
      <c r="G9" t="s">
        <v>95</v>
      </c>
      <c r="H9" s="6">
        <v>8.3333333333333329E-2</v>
      </c>
      <c r="I9" s="7">
        <v>4.1666666666666666E-3</v>
      </c>
    </row>
    <row r="10" spans="1:9" x14ac:dyDescent="0.2">
      <c r="A10" t="s">
        <v>87</v>
      </c>
      <c r="B10" t="s">
        <v>88</v>
      </c>
      <c r="C10" t="s">
        <v>96</v>
      </c>
      <c r="D10" t="s">
        <v>97</v>
      </c>
      <c r="E10" t="s">
        <v>91</v>
      </c>
      <c r="F10" t="s">
        <v>98</v>
      </c>
      <c r="G10" t="s">
        <v>99</v>
      </c>
      <c r="H10" s="6">
        <v>8.3333333333333329E-2</v>
      </c>
      <c r="I10" s="7">
        <v>4.1666666666666666E-3</v>
      </c>
    </row>
    <row r="11" spans="1:9" x14ac:dyDescent="0.2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85</v>
      </c>
      <c r="G11" t="s">
        <v>105</v>
      </c>
      <c r="H11" s="6">
        <v>8.3333333333333329E-2</v>
      </c>
      <c r="I11" s="7">
        <v>4.1666666666666666E-3</v>
      </c>
    </row>
    <row r="12" spans="1:9" x14ac:dyDescent="0.2">
      <c r="A12" t="s">
        <v>100</v>
      </c>
      <c r="B12" t="s">
        <v>101</v>
      </c>
      <c r="C12" t="s">
        <v>106</v>
      </c>
      <c r="D12" t="s">
        <v>107</v>
      </c>
      <c r="E12" t="s">
        <v>104</v>
      </c>
      <c r="F12" t="s">
        <v>108</v>
      </c>
      <c r="G12" t="s">
        <v>109</v>
      </c>
      <c r="H12" s="6">
        <v>8.3333333333333329E-2</v>
      </c>
      <c r="I12" s="7">
        <v>4.1666666666666666E-3</v>
      </c>
    </row>
    <row r="13" spans="1:9" x14ac:dyDescent="0.2">
      <c r="A13" t="s">
        <v>100</v>
      </c>
      <c r="B13" t="s">
        <v>101</v>
      </c>
      <c r="C13" t="s">
        <v>110</v>
      </c>
      <c r="D13" t="s">
        <v>111</v>
      </c>
      <c r="E13" t="s">
        <v>104</v>
      </c>
      <c r="F13" t="s">
        <v>112</v>
      </c>
      <c r="G13" t="s">
        <v>113</v>
      </c>
      <c r="H13" s="6">
        <v>8.3333333333333329E-2</v>
      </c>
      <c r="I13" s="7">
        <v>4.1666666666666666E-3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286" workbookViewId="0">
      <selection activeCell="C9" sqref="C9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22" style="3" customWidth="1"/>
  </cols>
  <sheetData>
    <row r="1" spans="1:3" x14ac:dyDescent="0.2">
      <c r="A1" s="1" t="s">
        <v>0</v>
      </c>
      <c r="B1" s="1" t="s">
        <v>48</v>
      </c>
      <c r="C1" s="2" t="s">
        <v>49</v>
      </c>
    </row>
    <row r="2" spans="1:3" x14ac:dyDescent="0.2">
      <c r="A2" t="s">
        <v>6</v>
      </c>
      <c r="B2">
        <v>35</v>
      </c>
      <c r="C2" s="3">
        <v>262500</v>
      </c>
    </row>
    <row r="3" spans="1:3" x14ac:dyDescent="0.2">
      <c r="A3" t="s">
        <v>50</v>
      </c>
      <c r="B3">
        <v>35</v>
      </c>
      <c r="C3" s="3">
        <v>262500</v>
      </c>
    </row>
    <row r="4" spans="1:3" x14ac:dyDescent="0.2">
      <c r="A4" t="s">
        <v>51</v>
      </c>
      <c r="B4">
        <v>20</v>
      </c>
      <c r="C4" s="3">
        <v>150000</v>
      </c>
    </row>
    <row r="5" spans="1:3" x14ac:dyDescent="0.2">
      <c r="A5" t="s">
        <v>40</v>
      </c>
      <c r="B5">
        <v>10</v>
      </c>
      <c r="C5" s="3">
        <v>75000</v>
      </c>
    </row>
    <row r="6" spans="1:3" ht="16" thickBot="1" x14ac:dyDescent="0.25">
      <c r="C6" s="4">
        <f>SUM(C2:C5)</f>
        <v>750000</v>
      </c>
    </row>
    <row r="7" spans="1:3" ht="16" thickTop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Portfolio v0.1</vt:lpstr>
      <vt:lpstr>Individual stock basket</vt:lpstr>
      <vt:lpstr>Sleeve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Graham charles Newman</cp:lastModifiedBy>
  <dcterms:created xsi:type="dcterms:W3CDTF">2026-01-30T09:53:19Z</dcterms:created>
  <dcterms:modified xsi:type="dcterms:W3CDTF">2026-01-30T12:24:41Z</dcterms:modified>
</cp:coreProperties>
</file>